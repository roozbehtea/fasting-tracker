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 Log" sheetId="1" state="visible" r:id="rId1"/>
    <sheet xmlns:r="http://schemas.openxmlformats.org/officeDocument/2006/relationships" name="Body Metric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Insights &amp; Goals" sheetId="4" state="visible" r:id="rId4"/>
    <sheet xmlns:r="http://schemas.openxmlformats.org/officeDocument/2006/relationships" name="Quick En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667EEA"/>
      <sz val="16"/>
    </font>
    <font>
      <b val="1"/>
    </font>
    <font>
      <b val="1"/>
      <color rgb="00667EEA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764BA2"/>
        <bgColor rgb="00764BA2"/>
      </patternFill>
    </fill>
    <fill>
      <patternFill patternType="solid">
        <fgColor rgb="00F44336"/>
        <bgColor rgb="00F44336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67EEA"/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Fast #</t>
        </is>
      </c>
      <c r="B1" s="1" t="inlineStr">
        <is>
          <t>Start Date</t>
        </is>
      </c>
      <c r="C1" s="1" t="inlineStr">
        <is>
          <t>Start Time</t>
        </is>
      </c>
      <c r="D1" s="1" t="inlineStr">
        <is>
          <t>End Date</t>
        </is>
      </c>
      <c r="E1" s="1" t="inlineStr">
        <is>
          <t>End Time</t>
        </is>
      </c>
      <c r="F1" s="1" t="inlineStr">
        <is>
          <t>Duration (hrs)</t>
        </is>
      </c>
      <c r="G1" s="1" t="inlineStr">
        <is>
          <t>Max Zone Reached</t>
        </is>
      </c>
      <c r="H1" s="1" t="inlineStr">
        <is>
          <t>Weight Before</t>
        </is>
      </c>
      <c r="I1" s="1" t="inlineStr">
        <is>
          <t>Weight After</t>
        </is>
      </c>
      <c r="J1" s="1" t="inlineStr">
        <is>
          <t>Notes</t>
        </is>
      </c>
    </row>
    <row r="2">
      <c r="A2" t="n">
        <v>1</v>
      </c>
      <c r="B2" t="inlineStr">
        <is>
          <t>2026-01-27</t>
        </is>
      </c>
      <c r="C2" t="inlineStr">
        <is>
          <t>09:30 AM</t>
        </is>
      </c>
      <c r="D2" t="inlineStr">
        <is>
          <t>In Progress</t>
        </is>
      </c>
      <c r="E2" t="inlineStr"/>
      <c r="F2">
        <f>IF(D2="In Progress",ROUND((NOW()-B2-TIME(9,30,0))*24,1),ROUND((D2+E2-B2-C2)*24,1))</f>
        <v/>
      </c>
      <c r="G2">
        <f>IF(F2&lt;4,"Anabolic",IF(F2&lt;12,"Catabolic",IF(F2&lt;16,"Fat Burning",IF(F2&lt;24,"Ketosis","Deep Ketosis"))))</f>
        <v/>
      </c>
      <c r="H2" t="n">
        <v>220</v>
      </c>
      <c r="I2" t="inlineStr"/>
      <c r="J2" t="inlineStr">
        <is>
          <t>Big breakfast - oatmeal and ghee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64BA2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2" t="inlineStr">
        <is>
          <t>Date</t>
        </is>
      </c>
      <c r="B1" s="2" t="inlineStr">
        <is>
          <t>Weight (lbs)</t>
        </is>
      </c>
      <c r="C1" s="2" t="inlineStr">
        <is>
          <t>Body Fat %</t>
        </is>
      </c>
      <c r="D1" s="2" t="inlineStr">
        <is>
          <t>Fat Mass (lbs)</t>
        </is>
      </c>
      <c r="E1" s="2" t="inlineStr">
        <is>
          <t>Lean Mass (lbs)</t>
        </is>
      </c>
      <c r="F1" s="2" t="inlineStr">
        <is>
          <t>BMI</t>
        </is>
      </c>
      <c r="G1" s="2" t="inlineStr">
        <is>
          <t>Waist (in)</t>
        </is>
      </c>
      <c r="H1" s="2" t="inlineStr">
        <is>
          <t>Notes</t>
        </is>
      </c>
    </row>
    <row r="2">
      <c r="A2" t="inlineStr">
        <is>
          <t>2026-01-27</t>
        </is>
      </c>
      <c r="B2" t="n">
        <v>220</v>
      </c>
      <c r="C2" t="n">
        <v>37</v>
      </c>
      <c r="D2">
        <f>B2*(C2/100)</f>
        <v/>
      </c>
      <c r="E2">
        <f>B2-D2</f>
        <v/>
      </c>
      <c r="F2">
        <f>ROUND((B2/2.205)/((65*0.0254)^2),1)</f>
        <v/>
      </c>
      <c r="G2" t="inlineStr"/>
      <c r="H2" t="inlineStr">
        <is>
          <t>Starting measurements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3" t="inlineStr"/>
    </row>
    <row r="2">
      <c r="A2" s="4" t="inlineStr">
        <is>
          <t>Total Fasts Completed:</t>
        </is>
      </c>
      <c r="B2">
        <f>COUNTIF('Fast Log'!D:D,"&lt;&gt;In Progress")-1</f>
        <v/>
      </c>
    </row>
    <row r="3">
      <c r="A3" s="4" t="inlineStr">
        <is>
          <t>Current Streak:</t>
        </is>
      </c>
      <c r="B3" t="inlineStr">
        <is>
          <t>1</t>
        </is>
      </c>
    </row>
    <row r="4">
      <c r="A4" s="4" t="inlineStr">
        <is>
          <t>Average Fast Duration:</t>
        </is>
      </c>
      <c r="B4">
        <f>ROUND(AVERAGE('Fast Log'!F:F),1)</f>
        <v/>
      </c>
    </row>
    <row r="5">
      <c r="A5" s="4" t="inlineStr">
        <is>
          <t>Longest Fast:</t>
        </is>
      </c>
      <c r="B5">
        <f>MAX('Fast Log'!F:F)</f>
        <v/>
      </c>
    </row>
    <row r="6">
      <c r="A6" s="4" t="inlineStr">
        <is>
          <t>Total Hours Fasted:</t>
        </is>
      </c>
      <c r="B6">
        <f>SUM('Fast Log'!F:F)</f>
        <v/>
      </c>
    </row>
    <row r="7">
      <c r="A7" t="inlineStr"/>
    </row>
    <row r="8">
      <c r="A8" s="4" t="inlineStr">
        <is>
          <t>Weight Progress:</t>
        </is>
      </c>
    </row>
    <row r="9">
      <c r="A9" s="4" t="inlineStr">
        <is>
          <t>Starting Weight:</t>
        </is>
      </c>
      <c r="B9" t="n">
        <v>220</v>
      </c>
    </row>
    <row r="10">
      <c r="A10" s="4" t="inlineStr">
        <is>
          <t>Current Weight:</t>
        </is>
      </c>
      <c r="B10">
        <f>'Body Metrics'!B2</f>
        <v/>
      </c>
    </row>
    <row r="11">
      <c r="A11" s="4" t="inlineStr">
        <is>
          <t>Total Weight Lost:</t>
        </is>
      </c>
      <c r="B11">
        <f>B10-B11</f>
        <v/>
      </c>
    </row>
    <row r="12">
      <c r="A12" s="4" t="inlineStr">
        <is>
          <t>Weight Loss %:</t>
        </is>
      </c>
      <c r="B12">
        <f>ROUND((B12/B10)*100,1)</f>
        <v/>
      </c>
    </row>
    <row r="13">
      <c r="A13" t="inlineStr"/>
    </row>
    <row r="14">
      <c r="A14" s="4" t="inlineStr">
        <is>
          <t>Body Composition:</t>
        </is>
      </c>
    </row>
    <row r="15">
      <c r="A15" s="4" t="inlineStr">
        <is>
          <t>Starting Body Fat %:</t>
        </is>
      </c>
      <c r="B15" t="n">
        <v>37</v>
      </c>
    </row>
    <row r="16">
      <c r="A16" s="4" t="inlineStr">
        <is>
          <t>Current Body Fat %:</t>
        </is>
      </c>
      <c r="B16">
        <f>'Body Metrics'!C2</f>
        <v/>
      </c>
    </row>
    <row r="17">
      <c r="A17" s="4" t="inlineStr">
        <is>
          <t>Fat Mass Lost:</t>
        </is>
      </c>
      <c r="B17">
        <f>220*0.37-'Body Metrics'!D2</f>
        <v/>
      </c>
    </row>
    <row r="18">
      <c r="A18" s="4" t="inlineStr">
        <is>
          <t>Lean Mass Change:</t>
        </is>
      </c>
      <c r="B18">
        <f>'Body Metrics'!E2-220*0.63</f>
        <v/>
      </c>
    </row>
    <row r="19">
      <c r="A19" t="inlineStr"/>
    </row>
    <row r="20">
      <c r="A20" s="4" t="inlineStr">
        <is>
          <t>Zone Achievements:</t>
        </is>
      </c>
    </row>
    <row r="21">
      <c r="A21" s="4" t="inlineStr">
        <is>
          <t>Times in Ketosis (16+ hrs):</t>
        </is>
      </c>
      <c r="B21">
        <f>COUNTIF('Fast Log'!F:F,"&gt;=16")</f>
        <v/>
      </c>
    </row>
    <row r="22">
      <c r="A22" s="4" t="inlineStr">
        <is>
          <t>Times in Deep Ketosis (24+ hrs):</t>
        </is>
      </c>
      <c r="B22">
        <f>COUNTIF('Fast Log'!F:F,"&gt;=24")</f>
        <v/>
      </c>
    </row>
    <row r="23">
      <c r="A23" t="inlineStr"/>
    </row>
    <row r="24">
      <c r="A24" s="4" t="inlineStr">
        <is>
          <t>Health Metrics:</t>
        </is>
      </c>
    </row>
    <row r="25">
      <c r="A25" s="4" t="inlineStr">
        <is>
          <t>Starting BMI:</t>
        </is>
      </c>
      <c r="B25" t="n">
        <v>36.6</v>
      </c>
    </row>
    <row r="26">
      <c r="A26" s="4" t="inlineStr">
        <is>
          <t>Current BMI:</t>
        </is>
      </c>
      <c r="B26">
        <f>'Body Metrics'!F2</f>
        <v/>
      </c>
    </row>
    <row r="27">
      <c r="A27" s="4" t="inlineStr">
        <is>
          <t>BMI Change:</t>
        </is>
      </c>
      <c r="B27">
        <f>B27-B26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20" customWidth="1" min="4" max="4"/>
  </cols>
  <sheetData>
    <row r="1">
      <c r="A1" s="3" t="inlineStr">
        <is>
          <t>FASTING INSIGHTS &amp; RECOMMENDATIONS</t>
        </is>
      </c>
    </row>
    <row r="3">
      <c r="A3" t="inlineStr"/>
      <c r="B3" t="inlineStr"/>
      <c r="C3" t="inlineStr"/>
      <c r="D3" t="inlineStr"/>
    </row>
    <row r="4">
      <c r="A4" s="5" t="inlineStr">
        <is>
          <t>Your Profile Summary:</t>
        </is>
      </c>
      <c r="B4" t="inlineStr"/>
      <c r="C4" t="inlineStr"/>
      <c r="D4" t="inlineStr"/>
    </row>
    <row r="5">
      <c r="A5" s="5" t="inlineStr">
        <is>
          <t>Height:</t>
        </is>
      </c>
      <c r="B5" t="inlineStr">
        <is>
          <t>5'5"</t>
        </is>
      </c>
      <c r="C5" t="inlineStr">
        <is>
          <t>Weight:</t>
        </is>
      </c>
      <c r="D5" t="n">
        <v>220</v>
      </c>
    </row>
    <row r="6">
      <c r="A6" s="5" t="inlineStr">
        <is>
          <t>Body Fat:</t>
        </is>
      </c>
      <c r="B6" t="inlineStr">
        <is>
          <t>37%</t>
        </is>
      </c>
      <c r="C6" t="inlineStr">
        <is>
          <t>Fat Mass:</t>
        </is>
      </c>
      <c r="D6">
        <f>220*0.37</f>
        <v/>
      </c>
    </row>
    <row r="7">
      <c r="A7" s="5" t="inlineStr">
        <is>
          <t>Lean Mass:</t>
        </is>
      </c>
      <c r="B7">
        <f>220*0.63</f>
        <v/>
      </c>
      <c r="C7" t="inlineStr">
        <is>
          <t>BMI:</t>
        </is>
      </c>
      <c r="D7" t="n">
        <v>36.6</v>
      </c>
    </row>
    <row r="8">
      <c r="A8" t="inlineStr"/>
      <c r="B8" t="inlineStr"/>
      <c r="C8" t="inlineStr"/>
      <c r="D8" t="inlineStr"/>
    </row>
    <row r="9">
      <c r="A9" s="5" t="inlineStr">
        <is>
          <t>Available Energy Reserves:</t>
        </is>
      </c>
      <c r="B9" t="inlineStr"/>
      <c r="C9" t="inlineStr"/>
      <c r="D9" t="inlineStr"/>
    </row>
    <row r="10">
      <c r="A10" s="5" t="inlineStr">
        <is>
          <t>Total Fat Mass:</t>
        </is>
      </c>
      <c r="B10" t="inlineStr">
        <is>
          <t>81.4 lbs</t>
        </is>
      </c>
      <c r="C10" t="inlineStr"/>
      <c r="D10" t="inlineStr"/>
    </row>
    <row r="11">
      <c r="A11" s="5" t="inlineStr">
        <is>
          <t>Caloric Energy Available:</t>
        </is>
      </c>
      <c r="B11" t="inlineStr">
        <is>
          <t>~285,000 calories</t>
        </is>
      </c>
      <c r="C11" t="inlineStr"/>
      <c r="D11" t="inlineStr"/>
    </row>
    <row r="12">
      <c r="A12" s="5" t="inlineStr">
        <is>
          <t>Theoretical Fasting Duration:</t>
        </is>
      </c>
      <c r="B12" t="inlineStr">
        <is>
          <t>~120 days (at 2000 cal/day BMR)</t>
        </is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s="5" t="inlineStr">
        <is>
          <t>Metabolic Zone Guide:</t>
        </is>
      </c>
      <c r="B14" t="inlineStr"/>
      <c r="C14" t="inlineStr"/>
      <c r="D14" t="inlineStr"/>
    </row>
    <row r="15">
      <c r="A15" s="5" t="inlineStr">
        <is>
          <t>Anabolic (0-4 hrs):</t>
        </is>
      </c>
      <c r="B15" t="inlineStr">
        <is>
          <t>Digestion, nutrient storage, insulin elevated</t>
        </is>
      </c>
      <c r="C15" t="inlineStr"/>
      <c r="D15" t="inlineStr"/>
    </row>
    <row r="16">
      <c r="A16" s="5" t="inlineStr">
        <is>
          <t>Catabolic (4-12 hrs):</t>
        </is>
      </c>
      <c r="B16" t="inlineStr">
        <is>
          <t>Glycogen depletion begins, insulin drops</t>
        </is>
      </c>
      <c r="C16" t="inlineStr"/>
      <c r="D16" t="inlineStr"/>
    </row>
    <row r="17">
      <c r="A17" s="5" t="inlineStr">
        <is>
          <t>Fat Burning (12-16 hrs):</t>
        </is>
      </c>
      <c r="B17" t="inlineStr">
        <is>
          <t>Shift to fat metabolism, ketone production starts</t>
        </is>
      </c>
      <c r="C17" t="inlineStr"/>
      <c r="D17" t="inlineStr"/>
    </row>
    <row r="18">
      <c r="A18" s="5" t="inlineStr">
        <is>
          <t>Ketosis (16-24 hrs):</t>
        </is>
      </c>
      <c r="B18" t="inlineStr">
        <is>
          <t>Significant ketones, mental clarity, autophagy begins</t>
        </is>
      </c>
      <c r="C18" t="inlineStr"/>
      <c r="D18" t="inlineStr"/>
    </row>
    <row r="19">
      <c r="A19" s="5" t="inlineStr">
        <is>
          <t>Deep Ketosis (24+ hrs):</t>
        </is>
      </c>
      <c r="B19" t="inlineStr">
        <is>
          <t>Peak autophagy, HGH increase, cellular cleanup</t>
        </is>
      </c>
      <c r="C19" t="inlineStr"/>
      <c r="D19" t="inlineStr"/>
    </row>
    <row r="20">
      <c r="A20" t="inlineStr"/>
      <c r="B20" t="inlineStr"/>
      <c r="C20" t="inlineStr"/>
      <c r="D20" t="inlineStr"/>
    </row>
    <row r="21">
      <c r="A21" s="5" t="inlineStr">
        <is>
          <t>Recommended Fasting Protocols:</t>
        </is>
      </c>
      <c r="B21" t="inlineStr"/>
      <c r="C21" t="inlineStr"/>
      <c r="D21" t="inlineStr"/>
    </row>
    <row r="22">
      <c r="A22" s="5" t="inlineStr">
        <is>
          <t>Beginner:</t>
        </is>
      </c>
      <c r="B22" t="inlineStr">
        <is>
          <t>16:8 (16 hrs fast, 8 hr eating window)</t>
        </is>
      </c>
      <c r="C22" t="inlineStr"/>
      <c r="D22" t="inlineStr"/>
    </row>
    <row r="23">
      <c r="A23" s="5" t="inlineStr">
        <is>
          <t>Intermediate:</t>
        </is>
      </c>
      <c r="B23" t="inlineStr">
        <is>
          <t>18:6 or 20:4</t>
        </is>
      </c>
      <c r="C23" t="inlineStr"/>
      <c r="D23" t="inlineStr"/>
    </row>
    <row r="24">
      <c r="A24" s="5" t="inlineStr">
        <is>
          <t>Advanced:</t>
        </is>
      </c>
      <c r="B24" t="inlineStr">
        <is>
          <t>24 hr fasts 1-2x per week</t>
        </is>
      </c>
      <c r="C24" t="inlineStr"/>
      <c r="D24" t="inlineStr"/>
    </row>
    <row r="25">
      <c r="A25" s="5" t="inlineStr">
        <is>
          <t>Extended:</t>
        </is>
      </c>
      <c r="B25" t="inlineStr">
        <is>
          <t>48-72 hrs monthly (with medical guidance)</t>
        </is>
      </c>
      <c r="C25" t="inlineStr"/>
      <c r="D25" t="inlineStr"/>
    </row>
    <row r="26">
      <c r="A26" t="inlineStr"/>
      <c r="B26" t="inlineStr"/>
      <c r="C26" t="inlineStr"/>
      <c r="D26" t="inlineStr"/>
    </row>
    <row r="27">
      <c r="A27" s="5" t="inlineStr">
        <is>
          <t>Tips for Success:</t>
        </is>
      </c>
      <c r="B27" t="inlineStr"/>
      <c r="C27" t="inlineStr"/>
      <c r="D27" t="inlineStr"/>
    </row>
    <row r="28">
      <c r="A28" s="5" t="inlineStr">
        <is>
          <t>1. Stay Hydrated:</t>
        </is>
      </c>
      <c r="B28" t="inlineStr">
        <is>
          <t>Drink water, black coffee, or tea</t>
        </is>
      </c>
      <c r="C28" t="inlineStr"/>
      <c r="D28" t="inlineStr"/>
    </row>
    <row r="29">
      <c r="A29" s="5" t="inlineStr">
        <is>
          <t>2. Electrolytes:</t>
        </is>
      </c>
      <c r="B29" t="inlineStr">
        <is>
          <t>Consider salt, potassium, magnesium on longer fasts</t>
        </is>
      </c>
      <c r="C29" t="inlineStr"/>
      <c r="D29" t="inlineStr"/>
    </row>
    <row r="30">
      <c r="A30" s="5" t="inlineStr">
        <is>
          <t>3. Break Fast Wisely:</t>
        </is>
      </c>
      <c r="B30" t="inlineStr">
        <is>
          <t>Start with small portions, avoid processed foods</t>
        </is>
      </c>
      <c r="C30" t="inlineStr"/>
      <c r="D30" t="inlineStr"/>
    </row>
    <row r="31">
      <c r="A31" s="5" t="inlineStr">
        <is>
          <t>4. Listen to Body:</t>
        </is>
      </c>
      <c r="B31" t="inlineStr">
        <is>
          <t>Dizziness or weakness = time to eat</t>
        </is>
      </c>
      <c r="C31" t="inlineStr"/>
      <c r="D31" t="inlineStr"/>
    </row>
    <row r="32">
      <c r="A32" s="5" t="inlineStr">
        <is>
          <t>5. Sleep Well:</t>
        </is>
      </c>
      <c r="B32" t="inlineStr">
        <is>
          <t>Quality sleep enhances fat burning and autophagy</t>
        </is>
      </c>
      <c r="C32" t="inlineStr"/>
      <c r="D32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4336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QUICK FAST ENTRY</t>
        </is>
      </c>
    </row>
    <row r="2">
      <c r="A2" t="inlineStr"/>
      <c r="B2" t="inlineStr"/>
    </row>
    <row r="3">
      <c r="A3" s="4" t="inlineStr">
        <is>
          <t>Start New Fast:</t>
        </is>
      </c>
      <c r="B3" s="7" t="inlineStr"/>
    </row>
    <row r="4">
      <c r="A4" s="4" t="inlineStr">
        <is>
          <t>Date:</t>
        </is>
      </c>
      <c r="B4" s="7" t="inlineStr"/>
    </row>
    <row r="5">
      <c r="A5" s="4" t="inlineStr">
        <is>
          <t>Time:</t>
        </is>
      </c>
      <c r="B5" s="7" t="inlineStr"/>
    </row>
    <row r="6">
      <c r="A6" s="4" t="inlineStr">
        <is>
          <t>Starting Weight:</t>
        </is>
      </c>
      <c r="B6" s="7" t="inlineStr"/>
    </row>
    <row r="7">
      <c r="A7" s="4" t="inlineStr">
        <is>
          <t>Notes:</t>
        </is>
      </c>
      <c r="B7" s="7" t="inlineStr"/>
    </row>
    <row r="8">
      <c r="A8" t="inlineStr"/>
      <c r="B8" t="inlineStr"/>
    </row>
    <row r="9">
      <c r="A9" s="4" t="inlineStr">
        <is>
          <t>End Current Fast:</t>
        </is>
      </c>
      <c r="B9" s="7" t="inlineStr"/>
    </row>
    <row r="10">
      <c r="A10" s="4" t="inlineStr">
        <is>
          <t>Date:</t>
        </is>
      </c>
      <c r="B10" s="7" t="inlineStr"/>
    </row>
    <row r="11">
      <c r="A11" s="4" t="inlineStr">
        <is>
          <t>Time:</t>
        </is>
      </c>
      <c r="B11" s="7" t="inlineStr"/>
    </row>
    <row r="12">
      <c r="A12" s="4" t="inlineStr">
        <is>
          <t>Ending Weight:</t>
        </is>
      </c>
      <c r="B12" s="7" t="inlineStr"/>
    </row>
    <row r="13">
      <c r="A13" t="inlineStr">
        <is>
          <t>How did you feel?</t>
        </is>
      </c>
      <c r="B13" t="inlineStr"/>
    </row>
    <row r="14">
      <c r="A14" t="inlineStr"/>
      <c r="B14" t="inlineStr"/>
    </row>
    <row r="15">
      <c r="A15" s="4" t="inlineStr">
        <is>
          <t>Instructions:</t>
        </is>
      </c>
      <c r="B15" s="7" t="inlineStr"/>
    </row>
    <row r="16">
      <c r="A16" t="inlineStr">
        <is>
          <t>1. Fill in the information above</t>
        </is>
      </c>
      <c r="B16" t="inlineStr"/>
    </row>
    <row r="17">
      <c r="A17" t="inlineStr">
        <is>
          <t>2. Copy to the Fast Log sheet</t>
        </is>
      </c>
      <c r="B17" t="inlineStr"/>
    </row>
    <row r="18">
      <c r="A18" t="inlineStr">
        <is>
          <t>3. The sheet will auto-calculate duration and zone</t>
        </is>
      </c>
      <c r="B1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2026-01-27T20:02:40Z</dcterms:created>
  <dcterms:modified xmlns:dcterms="http://purl.org/dc/terms/" xmlns:xsi="http://www.w3.org/2001/XMLSchema-instance" xsi:type="dcterms:W3CDTF">2026-01-27T20:02:40Z</dcterms:modified>
</cp:coreProperties>
</file>